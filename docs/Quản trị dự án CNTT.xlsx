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PU\ky7\Script-Blockchain\Game_BlockChain-NodeJs-\docs\"/>
    </mc:Choice>
  </mc:AlternateContent>
  <xr:revisionPtr revIDLastSave="0" documentId="13_ncr:1_{9AE1D010-4455-4048-A71F-F15E468F7129}" xr6:coauthVersionLast="47" xr6:coauthVersionMax="47" xr10:uidLastSave="{00000000-0000-0000-0000-000000000000}"/>
  <bookViews>
    <workbookView xWindow="-108" yWindow="-108" windowWidth="23256" windowHeight="12576" activeTab="2" xr2:uid="{317657C2-F133-4AA6-87F4-E327DC189DE0}"/>
  </bookViews>
  <sheets>
    <sheet name="WBS" sheetId="1" r:id="rId1"/>
    <sheet name="Man-month" sheetId="2" r:id="rId2"/>
    <sheet name="Sheet2" sheetId="3" r:id="rId3"/>
  </sheets>
  <calcPr calcId="191029"/>
</workbook>
</file>

<file path=xl/calcChain.xml><?xml version="1.0" encoding="utf-8"?>
<calcChain xmlns="http://schemas.openxmlformats.org/spreadsheetml/2006/main">
  <c r="F33" i="1" l="1"/>
  <c r="E3" i="2"/>
  <c r="E4" i="2"/>
  <c r="E5" i="2"/>
  <c r="E6" i="2"/>
  <c r="E2" i="2"/>
  <c r="D3" i="2"/>
  <c r="D4" i="2"/>
  <c r="D5" i="2"/>
  <c r="D6" i="2"/>
  <c r="D2" i="2"/>
  <c r="C7" i="2"/>
  <c r="E7" i="2" l="1"/>
  <c r="D7" i="2"/>
</calcChain>
</file>

<file path=xl/sharedStrings.xml><?xml version="1.0" encoding="utf-8"?>
<sst xmlns="http://schemas.openxmlformats.org/spreadsheetml/2006/main" count="189" uniqueCount="147">
  <si>
    <t>Giai đoạn khởi tạo và khảo sát</t>
  </si>
  <si>
    <t>Done</t>
  </si>
  <si>
    <t>PM + Tech Lead</t>
  </si>
  <si>
    <t>Chốt phạm vi và khảo sát hiện trạng</t>
  </si>
  <si>
    <t>Tech Lead + Product Owner</t>
  </si>
  <si>
    <t>Chiến lược môi trường và nhánh</t>
  </si>
  <si>
    <t>DevOps + Tech Lead</t>
  </si>
  <si>
    <t>In Progress</t>
  </si>
  <si>
    <t>Chuẩn hóa phiên bản hợp đồng dịch vụ</t>
  </si>
  <si>
    <t>Backend Architect</t>
  </si>
  <si>
    <t>Quản lý dự án và nghi lễ nhóm</t>
  </si>
  <si>
    <t>Phân tích và thiết kế</t>
  </si>
  <si>
    <t>Thiết kế quyền sở hữu dữ liệu theo dịch vụ</t>
  </si>
  <si>
    <t>Data Architect</t>
  </si>
  <si>
    <t>Chiến lược read model và cache</t>
  </si>
  <si>
    <t>To Do</t>
  </si>
  <si>
    <t>Backend + Infra</t>
  </si>
  <si>
    <t>Thi công (developement)</t>
  </si>
  <si>
    <t>Triển khai API gateway</t>
  </si>
  <si>
    <t>Backend Lead</t>
  </si>
  <si>
    <t>Triển khai WebSocket gateway</t>
  </si>
  <si>
    <t>Realtime Engineer</t>
  </si>
  <si>
    <t>Củng cố ranh giới Auth/User</t>
  </si>
  <si>
    <t>Backend Team</t>
  </si>
  <si>
    <t>Tối ưu điều phối inventory/market/trade</t>
  </si>
  <si>
    <t>Củng cố dịch vụ blockchain</t>
  </si>
  <si>
    <t>Blockchain Engineer</t>
  </si>
  <si>
    <t>Tích hợp dịch vụ ví</t>
  </si>
  <si>
    <t>Di chuyển schema và dữ liệu</t>
  </si>
  <si>
    <t>DB Engineer</t>
  </si>
  <si>
    <t>Áp dụng event bus và outbox</t>
  </si>
  <si>
    <t>Backend Architect + DevOps</t>
  </si>
  <si>
    <t>Triển khai dịch vụ thông báo</t>
  </si>
  <si>
    <t>Backend Engineer</t>
  </si>
  <si>
    <t>Tích hợp API ưu tiên qua gateway</t>
  </si>
  <si>
    <t>Frontend Lead</t>
  </si>
  <si>
    <t>Điều chỉnh client realtime</t>
  </si>
  <si>
    <t>Frontend + Realtime Engineer</t>
  </si>
  <si>
    <t>Xác minh luồng Admin và phân quyền</t>
  </si>
  <si>
    <t>Frontend + QA</t>
  </si>
  <si>
    <t>Củng cố nền tảng bảo mật</t>
  </si>
  <si>
    <t>Security Engineer</t>
  </si>
  <si>
    <t>Thiết lập observability và SLO</t>
  </si>
  <si>
    <t>SRE/DevOps</t>
  </si>
  <si>
    <t>Sẵn sàng container và triển khai</t>
  </si>
  <si>
    <t>DevOps</t>
  </si>
  <si>
    <t>Kiểm thử và bàn giao</t>
  </si>
  <si>
    <t>Xây dựng nền tảng kiểm thử tự động</t>
  </si>
  <si>
    <t>QA Lead + Backend Team</t>
  </si>
  <si>
    <t>Kiểm thử contract và end-to-end</t>
  </si>
  <si>
    <t>QA + Automation Engineer</t>
  </si>
  <si>
    <t>Kiểm thử hiệu năng và soak</t>
  </si>
  <si>
    <t>Performance Engineer</t>
  </si>
  <si>
    <t>Diễn tập cutover và rollback</t>
  </si>
  <si>
    <t>Tech Lead + DevOps</t>
  </si>
  <si>
    <t>Cập nhật tài liệu và bàn giao</t>
  </si>
  <si>
    <t>Tech Lead + Ops</t>
  </si>
  <si>
    <t>STT</t>
  </si>
  <si>
    <t>Tên Module/Nhiệm vụ</t>
  </si>
  <si>
    <t>Số giờ ước lượng (1h)</t>
  </si>
  <si>
    <t>Quy đổi Man-Month</t>
  </si>
  <si>
    <t>Quy đổi Man-Day</t>
  </si>
  <si>
    <t>Lập kế hoạch dự án</t>
  </si>
  <si>
    <t>Tổng cộng</t>
  </si>
  <si>
    <t>WBS ID</t>
  </si>
  <si>
    <t>Tên công việc</t>
  </si>
  <si>
    <t>Cấp độ</t>
  </si>
  <si>
    <t>Trạng thái</t>
  </si>
  <si>
    <t>Người thực hiện</t>
  </si>
  <si>
    <t>Ước lượng</t>
  </si>
  <si>
    <t>TỔNG CỘNG EFFORT</t>
  </si>
  <si>
    <t>Hạng mục chi phí</t>
  </si>
  <si>
    <t>Chi phí nhân sự</t>
  </si>
  <si>
    <t>Nhân sự - Automation Engineer</t>
  </si>
  <si>
    <t>Nhân sự - Backend</t>
  </si>
  <si>
    <t>Nhân sự - Backend Architect</t>
  </si>
  <si>
    <t>Nhân sự - Backend Engineer</t>
  </si>
  <si>
    <t>Nhân sự - Backend Lead</t>
  </si>
  <si>
    <t>Nhân sự - Backend Team</t>
  </si>
  <si>
    <t>Nhân sự - Blockchain Engineer</t>
  </si>
  <si>
    <t>Nhân sự - Data Architect</t>
  </si>
  <si>
    <t>Nhân sự - DB Engineer</t>
  </si>
  <si>
    <t>Nhân sự - DevOps</t>
  </si>
  <si>
    <t>Nhân sự - Frontend</t>
  </si>
  <si>
    <t>Nhân sự - Frontend Lead</t>
  </si>
  <si>
    <t>Nhân sự - Infra</t>
  </si>
  <si>
    <t>Nhân sự - Ops</t>
  </si>
  <si>
    <t>Nhân sự - Performance Engineer</t>
  </si>
  <si>
    <t>Nhân sự - PM</t>
  </si>
  <si>
    <t>Nhân sự - Product Owner</t>
  </si>
  <si>
    <t>Nhân sự - QA</t>
  </si>
  <si>
    <t>Nhân sự - QA Lead</t>
  </si>
  <si>
    <t>Nhân sự - Realtime Engineer</t>
  </si>
  <si>
    <t>Nhân sự - Security Engineer</t>
  </si>
  <si>
    <t>Nhân sự - Tech Lead</t>
  </si>
  <si>
    <t>Chi phí hạ tầng và công nghệ</t>
  </si>
  <si>
    <t>Cloud compute cho microservices</t>
  </si>
  <si>
    <t>Blockchain node/RPC &amp; contract ops</t>
  </si>
  <si>
    <t>Object storage + CDN</t>
  </si>
  <si>
    <t>CI/CD, registry, monitoring/logging</t>
  </si>
  <si>
    <t>Domain, SSL, email/SMS/API ngoài</t>
  </si>
  <si>
    <t>Chi phí quản lý &amp; vận hành</t>
  </si>
  <si>
    <t>Dự phòng rủi ro (Contingency)</t>
  </si>
  <si>
    <t>Release hardening &amp; handover</t>
  </si>
  <si>
    <t>Diễn giải (Căn cứ cập nhật từ file CSV WBS)</t>
  </si>
  <si>
    <t>Thành tiền (VNĐ)</t>
  </si>
  <si>
    <t>I</t>
  </si>
  <si>
    <t>278 giờ (~1.58 MM) × 47,500,000 VNĐ/tháng</t>
  </si>
  <si>
    <t>301 giờ (~1.71 MM) × 57,500,000 VNĐ/tháng</t>
  </si>
  <si>
    <t>4 giờ (~0.02 MM) × 45,000,000 VNĐ/tháng</t>
  </si>
  <si>
    <t>48.5 giờ (~0.28 MM) × 40,000,000 VNĐ/tháng</t>
  </si>
  <si>
    <t>27.5 giờ (~0.16 MM) × 65,000,000 VNĐ/tháng</t>
  </si>
  <si>
    <t>16 giờ (~0.09 MM) × 60,000,000 VNĐ/tháng</t>
  </si>
  <si>
    <t>8 giờ (~0.05 MM) × 30,000,000 VNĐ/tháng</t>
  </si>
  <si>
    <t>8 giờ (~0.05 MM) × 35,000,000 VNĐ/tháng</t>
  </si>
  <si>
    <t>25 giờ (~0.14 MM) × 52,500,000 VNĐ/tháng</t>
  </si>
  <si>
    <t>22.5 giờ (~0.13 MM) × 40,000,000 VNĐ/tháng</t>
  </si>
  <si>
    <t>87 giờ (~0.49 MM) × 35,000,000 VNĐ/tháng</t>
  </si>
  <si>
    <t>41 giờ (~0.23 MM) × 40,000,000 VNĐ/tháng</t>
  </si>
  <si>
    <t>13 giờ (~0.07 MM) × 35,000,000 VNĐ/tháng</t>
  </si>
  <si>
    <t>16 giờ (~0.09 MM) × 47,500,000 VNĐ/tháng</t>
  </si>
  <si>
    <t>11.5 giờ (~0.07 MM) × 30,000,000 VNĐ/tháng</t>
  </si>
  <si>
    <t>20.5 giờ (~0.12 MM) × 26,500,000 VNĐ/tháng</t>
  </si>
  <si>
    <t>20 giờ (~0.11 MM) × 47,500,000 VNĐ/tháng</t>
  </si>
  <si>
    <t>Nhân sự - SRE/DevOps</t>
  </si>
  <si>
    <t>20 giờ (~0.11 MM) × 43,750,000 VNĐ/tháng</t>
  </si>
  <si>
    <t>18 giờ (~0.10 MM) × 40,000,000 VNĐ/tháng</t>
  </si>
  <si>
    <t>15.5 giờ (~0.09 MM) × 35,000,000 VNĐ/tháng</t>
  </si>
  <si>
    <t>20 giờ (~0.11 MM) × 39,000,000 VNĐ/tháng</t>
  </si>
  <si>
    <t>5 giờ (~0.03 MM) × 26,500,000 VNĐ/tháng</t>
  </si>
  <si>
    <t>II</t>
  </si>
  <si>
    <t>Giữ nguyên theo kiến trúc microservices + blockchain của dự án</t>
  </si>
  <si>
    <t>Triển khai service Node.js, socket realtime, môi trường dev/test/staging</t>
  </si>
  <si>
    <t>Managed database</t>
  </si>
  <si>
    <t>MySQL/PostgreSQL backup &amp; recovery</t>
  </si>
  <si>
    <t>RPC, deploy và test smart contract</t>
  </si>
  <si>
    <t>Lưu trữ static/upload và tối ưu truy cập</t>
  </si>
  <si>
    <t>Build/deploy tự động và giám sát hệ thống</t>
  </si>
  <si>
    <t>Dịch vụ tích hợp và bảo mật</t>
  </si>
  <si>
    <t>III</t>
  </si>
  <si>
    <t>Cập nhật theo tổng mới của I + II</t>
  </si>
  <si>
    <t>10% của (I + II)</t>
  </si>
  <si>
    <t>Chi phí vận hành nội bộ &amp; bản quyền</t>
  </si>
  <si>
    <t>Công cụ quản trị và cộng tác dự án</t>
  </si>
  <si>
    <t>Chuẩn bị phát hành và bàn giao</t>
  </si>
  <si>
    <t>TỔNG CỘNG (I + II + III)</t>
  </si>
  <si>
    <t>Tính lại theo tổng giờ công trong file NEW WBS.csv. Man-month = tổng giờ / 176. Thành tiền = MM × lương trung bình vị trí, làm tròn lên 100,000 VNĐ.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</si>
</sst>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8" fillId="0" borderId="0" xfId="0" applyFont="1"/>
    <xf numFmtId="0" fontId="19" fillId="0" borderId="0" xfId="0" applyFont="1"/>
    <xf numFmtId="0" fontId="18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8" fillId="0" borderId="0" xfId="0" applyFont="1" applyAlignment="1">
      <alignment horizontal="right" vertical="center" wrapText="1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3" fontId="18" fillId="0" borderId="0" xfId="0" applyNumberFormat="1" applyFont="1" applyAlignment="1">
      <alignment horizontal="right" vertical="center" wrapText="1"/>
    </xf>
    <xf numFmtId="3" fontId="19" fillId="0" borderId="0" xfId="0" applyNumberFormat="1" applyFont="1" applyAlignment="1">
      <alignment horizontal="right" vertical="center" wrapText="1"/>
    </xf>
    <xf numFmtId="0" fontId="18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9E9CA-D073-4E60-B23D-F6457C8E47BB}">
  <dimension ref="A1:F33"/>
  <sheetViews>
    <sheetView topLeftCell="A31" zoomScale="85" zoomScaleNormal="85" workbookViewId="0">
      <selection activeCell="A2" sqref="A2:F32"/>
    </sheetView>
  </sheetViews>
  <sheetFormatPr defaultRowHeight="18" x14ac:dyDescent="0.35"/>
  <cols>
    <col min="1" max="1" width="10.21875" style="2" bestFit="1" customWidth="1"/>
    <col min="2" max="2" width="46.77734375" style="2" bestFit="1" customWidth="1"/>
    <col min="3" max="3" width="9.109375" style="2" bestFit="1" customWidth="1"/>
    <col min="4" max="4" width="12.77734375" style="2" bestFit="1" customWidth="1"/>
    <col min="5" max="5" width="32.77734375" style="2" bestFit="1" customWidth="1"/>
    <col min="6" max="6" width="12.77734375" style="2" bestFit="1" customWidth="1"/>
    <col min="7" max="16384" width="8.88671875" style="2"/>
  </cols>
  <sheetData>
    <row r="1" spans="1:6" x14ac:dyDescent="0.35">
      <c r="A1" s="7" t="s">
        <v>64</v>
      </c>
      <c r="B1" s="7" t="s">
        <v>65</v>
      </c>
      <c r="C1" s="7" t="s">
        <v>66</v>
      </c>
      <c r="D1" s="7" t="s">
        <v>67</v>
      </c>
      <c r="E1" s="7" t="s">
        <v>68</v>
      </c>
      <c r="F1" s="7" t="s">
        <v>69</v>
      </c>
    </row>
    <row r="2" spans="1:6" x14ac:dyDescent="0.35">
      <c r="A2" s="7">
        <v>1</v>
      </c>
      <c r="B2" s="7" t="s">
        <v>0</v>
      </c>
      <c r="C2" s="7">
        <v>1</v>
      </c>
      <c r="D2" s="7" t="s">
        <v>1</v>
      </c>
      <c r="E2" s="7" t="s">
        <v>2</v>
      </c>
      <c r="F2" s="8">
        <v>18</v>
      </c>
    </row>
    <row r="3" spans="1:6" x14ac:dyDescent="0.35">
      <c r="A3" s="6">
        <v>1.1000000000000001</v>
      </c>
      <c r="B3" s="6" t="s">
        <v>3</v>
      </c>
      <c r="C3" s="6">
        <v>2</v>
      </c>
      <c r="D3" s="6" t="s">
        <v>1</v>
      </c>
      <c r="E3" s="6" t="s">
        <v>4</v>
      </c>
      <c r="F3" s="9">
        <v>8</v>
      </c>
    </row>
    <row r="4" spans="1:6" x14ac:dyDescent="0.35">
      <c r="A4" s="6">
        <v>1.2</v>
      </c>
      <c r="B4" s="6" t="s">
        <v>5</v>
      </c>
      <c r="C4" s="6">
        <v>2</v>
      </c>
      <c r="D4" s="6" t="s">
        <v>1</v>
      </c>
      <c r="E4" s="6" t="s">
        <v>6</v>
      </c>
      <c r="F4" s="9">
        <v>8</v>
      </c>
    </row>
    <row r="5" spans="1:6" s="1" customFormat="1" ht="17.399999999999999" x14ac:dyDescent="0.3">
      <c r="A5" s="7">
        <v>2</v>
      </c>
      <c r="B5" s="7" t="s">
        <v>62</v>
      </c>
      <c r="C5" s="7">
        <v>1</v>
      </c>
      <c r="D5" s="7" t="s">
        <v>7</v>
      </c>
      <c r="E5" s="7" t="s">
        <v>2</v>
      </c>
      <c r="F5" s="8">
        <v>47</v>
      </c>
    </row>
    <row r="6" spans="1:6" x14ac:dyDescent="0.35">
      <c r="A6" s="6">
        <v>2.1</v>
      </c>
      <c r="B6" s="6" t="s">
        <v>8</v>
      </c>
      <c r="C6" s="6">
        <v>2</v>
      </c>
      <c r="D6" s="6" t="s">
        <v>7</v>
      </c>
      <c r="E6" s="6" t="s">
        <v>9</v>
      </c>
      <c r="F6" s="9">
        <v>13</v>
      </c>
    </row>
    <row r="7" spans="1:6" x14ac:dyDescent="0.35">
      <c r="A7" s="6">
        <v>2.2000000000000002</v>
      </c>
      <c r="B7" s="6" t="s">
        <v>10</v>
      </c>
      <c r="C7" s="6">
        <v>2</v>
      </c>
      <c r="D7" s="6" t="s">
        <v>7</v>
      </c>
      <c r="E7" s="6" t="s">
        <v>2</v>
      </c>
      <c r="F7" s="9">
        <v>31</v>
      </c>
    </row>
    <row r="8" spans="1:6" s="1" customFormat="1" ht="17.399999999999999" x14ac:dyDescent="0.3">
      <c r="A8" s="7">
        <v>3</v>
      </c>
      <c r="B8" s="7" t="s">
        <v>11</v>
      </c>
      <c r="C8" s="7">
        <v>1</v>
      </c>
      <c r="D8" s="7" t="s">
        <v>7</v>
      </c>
      <c r="E8" s="7" t="s">
        <v>2</v>
      </c>
      <c r="F8" s="8">
        <v>41</v>
      </c>
    </row>
    <row r="9" spans="1:6" x14ac:dyDescent="0.35">
      <c r="A9" s="6">
        <v>3.1</v>
      </c>
      <c r="B9" s="6" t="s">
        <v>12</v>
      </c>
      <c r="C9" s="6">
        <v>2</v>
      </c>
      <c r="D9" s="6" t="s">
        <v>7</v>
      </c>
      <c r="E9" s="6" t="s">
        <v>13</v>
      </c>
      <c r="F9" s="9">
        <v>16</v>
      </c>
    </row>
    <row r="10" spans="1:6" x14ac:dyDescent="0.35">
      <c r="A10" s="6">
        <v>3.2</v>
      </c>
      <c r="B10" s="6" t="s">
        <v>14</v>
      </c>
      <c r="C10" s="6">
        <v>2</v>
      </c>
      <c r="D10" s="6" t="s">
        <v>15</v>
      </c>
      <c r="E10" s="6" t="s">
        <v>16</v>
      </c>
      <c r="F10" s="9">
        <v>16</v>
      </c>
    </row>
    <row r="11" spans="1:6" s="1" customFormat="1" ht="17.399999999999999" x14ac:dyDescent="0.3">
      <c r="A11" s="7">
        <v>4</v>
      </c>
      <c r="B11" s="7" t="s">
        <v>17</v>
      </c>
      <c r="C11" s="7">
        <v>1</v>
      </c>
      <c r="D11" s="7" t="s">
        <v>7</v>
      </c>
      <c r="E11" s="7" t="s">
        <v>2</v>
      </c>
      <c r="F11" s="8">
        <v>301</v>
      </c>
    </row>
    <row r="12" spans="1:6" x14ac:dyDescent="0.35">
      <c r="A12" s="6">
        <v>4.0999999999999996</v>
      </c>
      <c r="B12" s="6" t="s">
        <v>18</v>
      </c>
      <c r="C12" s="6">
        <v>2</v>
      </c>
      <c r="D12" s="6" t="s">
        <v>15</v>
      </c>
      <c r="E12" s="6" t="s">
        <v>19</v>
      </c>
      <c r="F12" s="9">
        <v>25</v>
      </c>
    </row>
    <row r="13" spans="1:6" x14ac:dyDescent="0.35">
      <c r="A13" s="6">
        <v>4.2</v>
      </c>
      <c r="B13" s="6" t="s">
        <v>20</v>
      </c>
      <c r="C13" s="6">
        <v>2</v>
      </c>
      <c r="D13" s="6" t="s">
        <v>7</v>
      </c>
      <c r="E13" s="6" t="s">
        <v>21</v>
      </c>
      <c r="F13" s="9">
        <v>16</v>
      </c>
    </row>
    <row r="14" spans="1:6" x14ac:dyDescent="0.35">
      <c r="A14" s="6">
        <v>4.3</v>
      </c>
      <c r="B14" s="6" t="s">
        <v>22</v>
      </c>
      <c r="C14" s="6">
        <v>2</v>
      </c>
      <c r="D14" s="6" t="s">
        <v>7</v>
      </c>
      <c r="E14" s="6" t="s">
        <v>23</v>
      </c>
      <c r="F14" s="9">
        <v>20</v>
      </c>
    </row>
    <row r="15" spans="1:6" x14ac:dyDescent="0.35">
      <c r="A15" s="6">
        <v>4.4000000000000004</v>
      </c>
      <c r="B15" s="6" t="s">
        <v>24</v>
      </c>
      <c r="C15" s="6">
        <v>2</v>
      </c>
      <c r="D15" s="6" t="s">
        <v>7</v>
      </c>
      <c r="E15" s="6" t="s">
        <v>23</v>
      </c>
      <c r="F15" s="9">
        <v>29</v>
      </c>
    </row>
    <row r="16" spans="1:6" x14ac:dyDescent="0.35">
      <c r="A16" s="6">
        <v>4.5</v>
      </c>
      <c r="B16" s="6" t="s">
        <v>25</v>
      </c>
      <c r="C16" s="6">
        <v>2</v>
      </c>
      <c r="D16" s="6" t="s">
        <v>1</v>
      </c>
      <c r="E16" s="6" t="s">
        <v>26</v>
      </c>
      <c r="F16" s="9">
        <v>25</v>
      </c>
    </row>
    <row r="17" spans="1:6" x14ac:dyDescent="0.35">
      <c r="A17" s="6">
        <v>4.5999999999999996</v>
      </c>
      <c r="B17" s="6" t="s">
        <v>27</v>
      </c>
      <c r="C17" s="6">
        <v>2</v>
      </c>
      <c r="D17" s="6" t="s">
        <v>1</v>
      </c>
      <c r="E17" s="6" t="s">
        <v>23</v>
      </c>
      <c r="F17" s="9">
        <v>20</v>
      </c>
    </row>
    <row r="18" spans="1:6" x14ac:dyDescent="0.35">
      <c r="A18" s="6">
        <v>4.7</v>
      </c>
      <c r="B18" s="6" t="s">
        <v>28</v>
      </c>
      <c r="C18" s="6">
        <v>2</v>
      </c>
      <c r="D18" s="6" t="s">
        <v>7</v>
      </c>
      <c r="E18" s="6" t="s">
        <v>29</v>
      </c>
      <c r="F18" s="9">
        <v>41</v>
      </c>
    </row>
    <row r="19" spans="1:6" x14ac:dyDescent="0.35">
      <c r="A19" s="6">
        <v>4.8</v>
      </c>
      <c r="B19" s="6" t="s">
        <v>30</v>
      </c>
      <c r="C19" s="6">
        <v>2</v>
      </c>
      <c r="D19" s="6" t="s">
        <v>15</v>
      </c>
      <c r="E19" s="6" t="s">
        <v>31</v>
      </c>
      <c r="F19" s="9">
        <v>29</v>
      </c>
    </row>
    <row r="20" spans="1:6" x14ac:dyDescent="0.35">
      <c r="A20" s="6">
        <v>4.9000000000000004</v>
      </c>
      <c r="B20" s="6" t="s">
        <v>32</v>
      </c>
      <c r="C20" s="6">
        <v>2</v>
      </c>
      <c r="D20" s="6" t="s">
        <v>15</v>
      </c>
      <c r="E20" s="6" t="s">
        <v>33</v>
      </c>
      <c r="F20" s="9">
        <v>13</v>
      </c>
    </row>
    <row r="21" spans="1:6" x14ac:dyDescent="0.35">
      <c r="A21" s="6">
        <v>4.0999999999999996</v>
      </c>
      <c r="B21" s="6" t="s">
        <v>34</v>
      </c>
      <c r="C21" s="6">
        <v>2</v>
      </c>
      <c r="D21" s="6" t="s">
        <v>7</v>
      </c>
      <c r="E21" s="6" t="s">
        <v>35</v>
      </c>
      <c r="F21" s="9">
        <v>16</v>
      </c>
    </row>
    <row r="22" spans="1:6" x14ac:dyDescent="0.35">
      <c r="A22" s="6">
        <v>4.1100000000000003</v>
      </c>
      <c r="B22" s="6" t="s">
        <v>36</v>
      </c>
      <c r="C22" s="6">
        <v>2</v>
      </c>
      <c r="D22" s="6" t="s">
        <v>7</v>
      </c>
      <c r="E22" s="6" t="s">
        <v>37</v>
      </c>
      <c r="F22" s="9">
        <v>13</v>
      </c>
    </row>
    <row r="23" spans="1:6" x14ac:dyDescent="0.35">
      <c r="A23" s="6">
        <v>4.12</v>
      </c>
      <c r="B23" s="6" t="s">
        <v>38</v>
      </c>
      <c r="C23" s="6">
        <v>2</v>
      </c>
      <c r="D23" s="6" t="s">
        <v>7</v>
      </c>
      <c r="E23" s="6" t="s">
        <v>39</v>
      </c>
      <c r="F23" s="9">
        <v>10</v>
      </c>
    </row>
    <row r="24" spans="1:6" x14ac:dyDescent="0.35">
      <c r="A24" s="6">
        <v>4.13</v>
      </c>
      <c r="B24" s="6" t="s">
        <v>40</v>
      </c>
      <c r="C24" s="6">
        <v>2</v>
      </c>
      <c r="D24" s="6" t="s">
        <v>1</v>
      </c>
      <c r="E24" s="6" t="s">
        <v>41</v>
      </c>
      <c r="F24" s="9">
        <v>20</v>
      </c>
    </row>
    <row r="25" spans="1:6" x14ac:dyDescent="0.35">
      <c r="A25" s="6">
        <v>4.1399999999999997</v>
      </c>
      <c r="B25" s="6" t="s">
        <v>42</v>
      </c>
      <c r="C25" s="6">
        <v>2</v>
      </c>
      <c r="D25" s="6" t="s">
        <v>15</v>
      </c>
      <c r="E25" s="6" t="s">
        <v>43</v>
      </c>
      <c r="F25" s="9">
        <v>20</v>
      </c>
    </row>
    <row r="26" spans="1:6" x14ac:dyDescent="0.35">
      <c r="A26" s="6">
        <v>4.1500000000000004</v>
      </c>
      <c r="B26" s="6" t="s">
        <v>44</v>
      </c>
      <c r="C26" s="6">
        <v>2</v>
      </c>
      <c r="D26" s="6" t="s">
        <v>1</v>
      </c>
      <c r="E26" s="6" t="s">
        <v>45</v>
      </c>
      <c r="F26" s="9">
        <v>20</v>
      </c>
    </row>
    <row r="27" spans="1:6" s="1" customFormat="1" ht="17.399999999999999" x14ac:dyDescent="0.3">
      <c r="A27" s="7">
        <v>5</v>
      </c>
      <c r="B27" s="7" t="s">
        <v>46</v>
      </c>
      <c r="C27" s="7">
        <v>1</v>
      </c>
      <c r="D27" s="7" t="s">
        <v>7</v>
      </c>
      <c r="E27" s="7" t="s">
        <v>2</v>
      </c>
      <c r="F27" s="8">
        <v>118</v>
      </c>
    </row>
    <row r="28" spans="1:6" x14ac:dyDescent="0.35">
      <c r="A28" s="6">
        <v>5.0999999999999996</v>
      </c>
      <c r="B28" s="6" t="s">
        <v>47</v>
      </c>
      <c r="C28" s="6">
        <v>2</v>
      </c>
      <c r="D28" s="6" t="s">
        <v>7</v>
      </c>
      <c r="E28" s="6" t="s">
        <v>48</v>
      </c>
      <c r="F28" s="9">
        <v>36</v>
      </c>
    </row>
    <row r="29" spans="1:6" x14ac:dyDescent="0.35">
      <c r="A29" s="6">
        <v>5.2</v>
      </c>
      <c r="B29" s="6" t="s">
        <v>49</v>
      </c>
      <c r="C29" s="6">
        <v>2</v>
      </c>
      <c r="D29" s="6" t="s">
        <v>15</v>
      </c>
      <c r="E29" s="6" t="s">
        <v>50</v>
      </c>
      <c r="F29" s="9">
        <v>31</v>
      </c>
    </row>
    <row r="30" spans="1:6" x14ac:dyDescent="0.35">
      <c r="A30" s="6">
        <v>5.3</v>
      </c>
      <c r="B30" s="6" t="s">
        <v>51</v>
      </c>
      <c r="C30" s="6">
        <v>2</v>
      </c>
      <c r="D30" s="6" t="s">
        <v>15</v>
      </c>
      <c r="E30" s="6" t="s">
        <v>52</v>
      </c>
      <c r="F30" s="9">
        <v>20</v>
      </c>
    </row>
    <row r="31" spans="1:6" x14ac:dyDescent="0.35">
      <c r="A31" s="6">
        <v>5.4</v>
      </c>
      <c r="B31" s="6" t="s">
        <v>53</v>
      </c>
      <c r="C31" s="6">
        <v>2</v>
      </c>
      <c r="D31" s="6" t="s">
        <v>15</v>
      </c>
      <c r="E31" s="6" t="s">
        <v>54</v>
      </c>
      <c r="F31" s="9">
        <v>20</v>
      </c>
    </row>
    <row r="32" spans="1:6" x14ac:dyDescent="0.35">
      <c r="A32" s="6">
        <v>5.5</v>
      </c>
      <c r="B32" s="6" t="s">
        <v>55</v>
      </c>
      <c r="C32" s="6">
        <v>2</v>
      </c>
      <c r="D32" s="6" t="s">
        <v>1</v>
      </c>
      <c r="E32" s="6" t="s">
        <v>56</v>
      </c>
      <c r="F32" s="9">
        <v>10</v>
      </c>
    </row>
    <row r="33" spans="1:6" x14ac:dyDescent="0.35">
      <c r="A33" s="6"/>
      <c r="B33" s="6" t="s">
        <v>70</v>
      </c>
      <c r="C33" s="6"/>
      <c r="D33" s="6"/>
      <c r="E33" s="6"/>
      <c r="F33" s="7">
        <f>SUM(F2,F5,F8,F11,F27)</f>
        <v>525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DC239-FEB0-4E3E-9C3B-6A05A4E799F0}">
  <dimension ref="A1:E7"/>
  <sheetViews>
    <sheetView workbookViewId="0">
      <selection activeCell="G5" sqref="G5"/>
    </sheetView>
  </sheetViews>
  <sheetFormatPr defaultRowHeight="34.200000000000003" customHeight="1" x14ac:dyDescent="0.3"/>
  <cols>
    <col min="1" max="1" width="12.77734375" bestFit="1" customWidth="1"/>
    <col min="2" max="2" width="33" bestFit="1" customWidth="1"/>
    <col min="3" max="3" width="25.21875" bestFit="1" customWidth="1"/>
    <col min="4" max="4" width="21.33203125" bestFit="1" customWidth="1"/>
    <col min="5" max="5" width="24.5546875" bestFit="1" customWidth="1"/>
  </cols>
  <sheetData>
    <row r="1" spans="1:5" ht="34.200000000000003" customHeight="1" x14ac:dyDescent="0.3">
      <c r="A1" s="3" t="s">
        <v>57</v>
      </c>
      <c r="B1" s="3" t="s">
        <v>58</v>
      </c>
      <c r="C1" s="3" t="s">
        <v>59</v>
      </c>
      <c r="D1" s="3" t="s">
        <v>61</v>
      </c>
      <c r="E1" s="3" t="s">
        <v>60</v>
      </c>
    </row>
    <row r="2" spans="1:5" ht="34.200000000000003" customHeight="1" x14ac:dyDescent="0.3">
      <c r="A2" s="4">
        <v>1</v>
      </c>
      <c r="B2" s="4" t="s">
        <v>0</v>
      </c>
      <c r="C2" s="4">
        <v>18</v>
      </c>
      <c r="D2" s="4">
        <f>C2/8</f>
        <v>2.25</v>
      </c>
      <c r="E2" s="4">
        <f>ROUND(C2/176,2)</f>
        <v>0.1</v>
      </c>
    </row>
    <row r="3" spans="1:5" ht="34.200000000000003" customHeight="1" x14ac:dyDescent="0.3">
      <c r="A3" s="4">
        <v>2</v>
      </c>
      <c r="B3" s="4" t="s">
        <v>62</v>
      </c>
      <c r="C3" s="4">
        <v>47</v>
      </c>
      <c r="D3" s="4">
        <f t="shared" ref="D3:D6" si="0">C3/8</f>
        <v>5.875</v>
      </c>
      <c r="E3" s="4">
        <f t="shared" ref="E3:E6" si="1">ROUND(C3/176,2)</f>
        <v>0.27</v>
      </c>
    </row>
    <row r="4" spans="1:5" ht="34.200000000000003" customHeight="1" x14ac:dyDescent="0.3">
      <c r="A4" s="4">
        <v>3</v>
      </c>
      <c r="B4" s="4" t="s">
        <v>11</v>
      </c>
      <c r="C4" s="4">
        <v>41</v>
      </c>
      <c r="D4" s="4">
        <f t="shared" si="0"/>
        <v>5.125</v>
      </c>
      <c r="E4" s="4">
        <f t="shared" si="1"/>
        <v>0.23</v>
      </c>
    </row>
    <row r="5" spans="1:5" ht="34.200000000000003" customHeight="1" x14ac:dyDescent="0.3">
      <c r="A5" s="4">
        <v>4</v>
      </c>
      <c r="B5" s="4" t="s">
        <v>17</v>
      </c>
      <c r="C5" s="4">
        <v>301</v>
      </c>
      <c r="D5" s="4">
        <f t="shared" si="0"/>
        <v>37.625</v>
      </c>
      <c r="E5" s="4">
        <f t="shared" si="1"/>
        <v>1.71</v>
      </c>
    </row>
    <row r="6" spans="1:5" ht="34.200000000000003" customHeight="1" x14ac:dyDescent="0.3">
      <c r="A6" s="4">
        <v>5</v>
      </c>
      <c r="B6" s="4" t="s">
        <v>46</v>
      </c>
      <c r="C6" s="4">
        <v>118</v>
      </c>
      <c r="D6" s="4">
        <f t="shared" si="0"/>
        <v>14.75</v>
      </c>
      <c r="E6" s="4">
        <f t="shared" si="1"/>
        <v>0.67</v>
      </c>
    </row>
    <row r="7" spans="1:5" ht="34.200000000000003" customHeight="1" x14ac:dyDescent="0.3">
      <c r="A7" s="3" t="s">
        <v>63</v>
      </c>
      <c r="B7" s="5"/>
      <c r="C7" s="3">
        <f>SUM(C2:C6)</f>
        <v>525</v>
      </c>
      <c r="D7" s="3">
        <f>SUM(D2:D6)</f>
        <v>65.625</v>
      </c>
      <c r="E7" s="3">
        <f>SUM(E2:E6)</f>
        <v>2.98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E83E1-3955-4BD6-8EFE-D3AA1AF632E1}">
  <dimension ref="A1:D37"/>
  <sheetViews>
    <sheetView tabSelected="1" zoomScale="70" zoomScaleNormal="70" workbookViewId="0">
      <selection sqref="A1:D37"/>
    </sheetView>
  </sheetViews>
  <sheetFormatPr defaultRowHeight="45.6" customHeight="1" x14ac:dyDescent="0.35"/>
  <cols>
    <col min="1" max="1" width="5.88671875" style="6" bestFit="1" customWidth="1"/>
    <col min="2" max="2" width="53.44140625" style="6" bestFit="1" customWidth="1"/>
    <col min="3" max="3" width="172" style="6" bestFit="1" customWidth="1"/>
    <col min="4" max="4" width="29" style="6" bestFit="1" customWidth="1"/>
    <col min="5" max="16384" width="8.88671875" style="6"/>
  </cols>
  <sheetData>
    <row r="1" spans="1:4" s="7" customFormat="1" ht="45.6" customHeight="1" x14ac:dyDescent="0.3">
      <c r="A1" s="15" t="s">
        <v>57</v>
      </c>
      <c r="B1" s="15" t="s">
        <v>71</v>
      </c>
      <c r="C1" s="15" t="s">
        <v>104</v>
      </c>
      <c r="D1" s="10" t="s">
        <v>105</v>
      </c>
    </row>
    <row r="2" spans="1:4" s="7" customFormat="1" ht="45.6" customHeight="1" x14ac:dyDescent="0.3">
      <c r="A2" s="15" t="s">
        <v>106</v>
      </c>
      <c r="B2" s="15" t="s">
        <v>72</v>
      </c>
      <c r="C2" s="16" t="s">
        <v>146</v>
      </c>
      <c r="D2" s="13">
        <v>286400000</v>
      </c>
    </row>
    <row r="3" spans="1:4" ht="45.6" customHeight="1" x14ac:dyDescent="0.35">
      <c r="A3" s="16">
        <v>1.1000000000000001</v>
      </c>
      <c r="B3" s="16" t="s">
        <v>88</v>
      </c>
      <c r="C3" s="16" t="s">
        <v>107</v>
      </c>
      <c r="D3" s="14">
        <v>75100000</v>
      </c>
    </row>
    <row r="4" spans="1:4" ht="45.6" customHeight="1" x14ac:dyDescent="0.35">
      <c r="A4" s="16">
        <v>1.2</v>
      </c>
      <c r="B4" s="16" t="s">
        <v>94</v>
      </c>
      <c r="C4" s="16" t="s">
        <v>108</v>
      </c>
      <c r="D4" s="14">
        <v>98400000</v>
      </c>
    </row>
    <row r="5" spans="1:4" ht="45.6" customHeight="1" x14ac:dyDescent="0.35">
      <c r="A5" s="16">
        <v>1.3</v>
      </c>
      <c r="B5" s="16" t="s">
        <v>89</v>
      </c>
      <c r="C5" s="16" t="s">
        <v>109</v>
      </c>
      <c r="D5" s="14">
        <v>1100000</v>
      </c>
    </row>
    <row r="6" spans="1:4" ht="45.6" customHeight="1" x14ac:dyDescent="0.35">
      <c r="A6" s="16">
        <v>1.4</v>
      </c>
      <c r="B6" s="16" t="s">
        <v>82</v>
      </c>
      <c r="C6" s="16" t="s">
        <v>110</v>
      </c>
      <c r="D6" s="14">
        <v>11100000</v>
      </c>
    </row>
    <row r="7" spans="1:4" ht="45.6" customHeight="1" x14ac:dyDescent="0.35">
      <c r="A7" s="16">
        <v>1.5</v>
      </c>
      <c r="B7" s="16" t="s">
        <v>75</v>
      </c>
      <c r="C7" s="16" t="s">
        <v>111</v>
      </c>
      <c r="D7" s="14">
        <v>10200000</v>
      </c>
    </row>
    <row r="8" spans="1:4" ht="45.6" customHeight="1" x14ac:dyDescent="0.35">
      <c r="A8" s="16">
        <v>1.6</v>
      </c>
      <c r="B8" s="16" t="s">
        <v>80</v>
      </c>
      <c r="C8" s="16" t="s">
        <v>112</v>
      </c>
      <c r="D8" s="14">
        <v>5500000</v>
      </c>
    </row>
    <row r="9" spans="1:4" ht="45.6" customHeight="1" x14ac:dyDescent="0.35">
      <c r="A9" s="16">
        <v>1.7</v>
      </c>
      <c r="B9" s="16" t="s">
        <v>74</v>
      </c>
      <c r="C9" s="16" t="s">
        <v>113</v>
      </c>
      <c r="D9" s="14">
        <v>1400000</v>
      </c>
    </row>
    <row r="10" spans="1:4" ht="45.6" customHeight="1" x14ac:dyDescent="0.35">
      <c r="A10" s="16">
        <v>1.8</v>
      </c>
      <c r="B10" s="16" t="s">
        <v>85</v>
      </c>
      <c r="C10" s="16" t="s">
        <v>114</v>
      </c>
      <c r="D10" s="14">
        <v>1600000</v>
      </c>
    </row>
    <row r="11" spans="1:4" ht="45.6" customHeight="1" x14ac:dyDescent="0.35">
      <c r="A11" s="16">
        <v>1.9</v>
      </c>
      <c r="B11" s="16" t="s">
        <v>77</v>
      </c>
      <c r="C11" s="16" t="s">
        <v>115</v>
      </c>
      <c r="D11" s="14">
        <v>7500000</v>
      </c>
    </row>
    <row r="12" spans="1:4" ht="45.6" customHeight="1" x14ac:dyDescent="0.35">
      <c r="A12" s="16">
        <v>1.1000000000000001</v>
      </c>
      <c r="B12" s="16" t="s">
        <v>92</v>
      </c>
      <c r="C12" s="16" t="s">
        <v>116</v>
      </c>
      <c r="D12" s="14">
        <v>5200000</v>
      </c>
    </row>
    <row r="13" spans="1:4" ht="45.6" customHeight="1" x14ac:dyDescent="0.35">
      <c r="A13" s="16">
        <v>1.1100000000000001</v>
      </c>
      <c r="B13" s="16" t="s">
        <v>78</v>
      </c>
      <c r="C13" s="16" t="s">
        <v>117</v>
      </c>
      <c r="D13" s="14">
        <v>17400000</v>
      </c>
    </row>
    <row r="14" spans="1:4" ht="45.6" customHeight="1" x14ac:dyDescent="0.35">
      <c r="A14" s="16">
        <v>1.1200000000000001</v>
      </c>
      <c r="B14" s="16" t="s">
        <v>79</v>
      </c>
      <c r="C14" s="16" t="s">
        <v>115</v>
      </c>
      <c r="D14" s="14">
        <v>7500000</v>
      </c>
    </row>
    <row r="15" spans="1:4" ht="45.6" customHeight="1" x14ac:dyDescent="0.35">
      <c r="A15" s="16">
        <v>1.1299999999999999</v>
      </c>
      <c r="B15" s="16" t="s">
        <v>81</v>
      </c>
      <c r="C15" s="16" t="s">
        <v>118</v>
      </c>
      <c r="D15" s="14">
        <v>9400000</v>
      </c>
    </row>
    <row r="16" spans="1:4" ht="45.6" customHeight="1" x14ac:dyDescent="0.35">
      <c r="A16" s="16">
        <v>1.1399999999999999</v>
      </c>
      <c r="B16" s="16" t="s">
        <v>76</v>
      </c>
      <c r="C16" s="16" t="s">
        <v>119</v>
      </c>
      <c r="D16" s="14">
        <v>2600000</v>
      </c>
    </row>
    <row r="17" spans="1:4" ht="45.6" customHeight="1" x14ac:dyDescent="0.35">
      <c r="A17" s="16">
        <v>1.1499999999999999</v>
      </c>
      <c r="B17" s="16" t="s">
        <v>84</v>
      </c>
      <c r="C17" s="16" t="s">
        <v>120</v>
      </c>
      <c r="D17" s="14">
        <v>4400000</v>
      </c>
    </row>
    <row r="18" spans="1:4" ht="45.6" customHeight="1" x14ac:dyDescent="0.35">
      <c r="A18" s="16">
        <v>1.1599999999999999</v>
      </c>
      <c r="B18" s="16" t="s">
        <v>83</v>
      </c>
      <c r="C18" s="16" t="s">
        <v>121</v>
      </c>
      <c r="D18" s="14">
        <v>2000000</v>
      </c>
    </row>
    <row r="19" spans="1:4" ht="45.6" customHeight="1" x14ac:dyDescent="0.35">
      <c r="A19" s="16">
        <v>1.17</v>
      </c>
      <c r="B19" s="16" t="s">
        <v>90</v>
      </c>
      <c r="C19" s="16" t="s">
        <v>122</v>
      </c>
      <c r="D19" s="14">
        <v>3100000</v>
      </c>
    </row>
    <row r="20" spans="1:4" ht="45.6" customHeight="1" x14ac:dyDescent="0.35">
      <c r="A20" s="16">
        <v>1.18</v>
      </c>
      <c r="B20" s="16" t="s">
        <v>93</v>
      </c>
      <c r="C20" s="16" t="s">
        <v>123</v>
      </c>
      <c r="D20" s="14">
        <v>5400000</v>
      </c>
    </row>
    <row r="21" spans="1:4" ht="45.6" customHeight="1" x14ac:dyDescent="0.35">
      <c r="A21" s="16">
        <v>1.19</v>
      </c>
      <c r="B21" s="16" t="s">
        <v>124</v>
      </c>
      <c r="C21" s="16" t="s">
        <v>125</v>
      </c>
      <c r="D21" s="14">
        <v>5000000</v>
      </c>
    </row>
    <row r="22" spans="1:4" ht="45.6" customHeight="1" x14ac:dyDescent="0.35">
      <c r="A22" s="16">
        <v>1.2</v>
      </c>
      <c r="B22" s="16" t="s">
        <v>91</v>
      </c>
      <c r="C22" s="16" t="s">
        <v>126</v>
      </c>
      <c r="D22" s="14">
        <v>4100000</v>
      </c>
    </row>
    <row r="23" spans="1:4" ht="45.6" customHeight="1" x14ac:dyDescent="0.35">
      <c r="A23" s="16">
        <v>1.21</v>
      </c>
      <c r="B23" s="16" t="s">
        <v>73</v>
      </c>
      <c r="C23" s="16" t="s">
        <v>127</v>
      </c>
      <c r="D23" s="14">
        <v>3100000</v>
      </c>
    </row>
    <row r="24" spans="1:4" ht="45.6" customHeight="1" x14ac:dyDescent="0.35">
      <c r="A24" s="16">
        <v>1.22</v>
      </c>
      <c r="B24" s="16" t="s">
        <v>87</v>
      </c>
      <c r="C24" s="16" t="s">
        <v>128</v>
      </c>
      <c r="D24" s="14">
        <v>4500000</v>
      </c>
    </row>
    <row r="25" spans="1:4" ht="45.6" customHeight="1" x14ac:dyDescent="0.35">
      <c r="A25" s="16">
        <v>1.23</v>
      </c>
      <c r="B25" s="16" t="s">
        <v>86</v>
      </c>
      <c r="C25" s="16" t="s">
        <v>129</v>
      </c>
      <c r="D25" s="14">
        <v>800000</v>
      </c>
    </row>
    <row r="26" spans="1:4" s="7" customFormat="1" ht="45.6" customHeight="1" x14ac:dyDescent="0.3">
      <c r="A26" s="15" t="s">
        <v>130</v>
      </c>
      <c r="B26" s="15" t="s">
        <v>95</v>
      </c>
      <c r="C26" s="16" t="s">
        <v>131</v>
      </c>
      <c r="D26" s="13">
        <v>48000000</v>
      </c>
    </row>
    <row r="27" spans="1:4" ht="45.6" customHeight="1" x14ac:dyDescent="0.35">
      <c r="A27" s="16">
        <v>2.1</v>
      </c>
      <c r="B27" s="16" t="s">
        <v>96</v>
      </c>
      <c r="C27" s="16" t="s">
        <v>132</v>
      </c>
      <c r="D27" s="14">
        <v>18000000</v>
      </c>
    </row>
    <row r="28" spans="1:4" ht="45.6" customHeight="1" x14ac:dyDescent="0.35">
      <c r="A28" s="16">
        <v>2.2000000000000002</v>
      </c>
      <c r="B28" s="16" t="s">
        <v>133</v>
      </c>
      <c r="C28" s="16" t="s">
        <v>134</v>
      </c>
      <c r="D28" s="14">
        <v>8000000</v>
      </c>
    </row>
    <row r="29" spans="1:4" ht="45.6" customHeight="1" x14ac:dyDescent="0.35">
      <c r="A29" s="16">
        <v>2.2999999999999998</v>
      </c>
      <c r="B29" s="16" t="s">
        <v>97</v>
      </c>
      <c r="C29" s="16" t="s">
        <v>135</v>
      </c>
      <c r="D29" s="14">
        <v>6000000</v>
      </c>
    </row>
    <row r="30" spans="1:4" ht="45.6" customHeight="1" x14ac:dyDescent="0.35">
      <c r="A30" s="16">
        <v>2.4</v>
      </c>
      <c r="B30" s="16" t="s">
        <v>98</v>
      </c>
      <c r="C30" s="16" t="s">
        <v>136</v>
      </c>
      <c r="D30" s="14">
        <v>4000000</v>
      </c>
    </row>
    <row r="31" spans="1:4" ht="45.6" customHeight="1" x14ac:dyDescent="0.35">
      <c r="A31" s="16">
        <v>2.5</v>
      </c>
      <c r="B31" s="16" t="s">
        <v>99</v>
      </c>
      <c r="C31" s="16" t="s">
        <v>137</v>
      </c>
      <c r="D31" s="14">
        <v>7000000</v>
      </c>
    </row>
    <row r="32" spans="1:4" ht="45.6" customHeight="1" x14ac:dyDescent="0.35">
      <c r="A32" s="16">
        <v>2.6</v>
      </c>
      <c r="B32" s="16" t="s">
        <v>100</v>
      </c>
      <c r="C32" s="16" t="s">
        <v>138</v>
      </c>
      <c r="D32" s="14">
        <v>5000000</v>
      </c>
    </row>
    <row r="33" spans="1:4" s="7" customFormat="1" ht="45.6" customHeight="1" x14ac:dyDescent="0.3">
      <c r="A33" s="15" t="s">
        <v>139</v>
      </c>
      <c r="B33" s="15" t="s">
        <v>101</v>
      </c>
      <c r="C33" s="16" t="s">
        <v>140</v>
      </c>
      <c r="D33" s="13">
        <v>43500000</v>
      </c>
    </row>
    <row r="34" spans="1:4" ht="45.6" customHeight="1" x14ac:dyDescent="0.35">
      <c r="A34" s="16">
        <v>3.1</v>
      </c>
      <c r="B34" s="16" t="s">
        <v>102</v>
      </c>
      <c r="C34" s="16" t="s">
        <v>141</v>
      </c>
      <c r="D34" s="14">
        <v>33500000</v>
      </c>
    </row>
    <row r="35" spans="1:4" ht="45.6" customHeight="1" x14ac:dyDescent="0.35">
      <c r="A35" s="16">
        <v>3.2</v>
      </c>
      <c r="B35" s="16" t="s">
        <v>142</v>
      </c>
      <c r="C35" s="16" t="s">
        <v>143</v>
      </c>
      <c r="D35" s="14">
        <v>6000000</v>
      </c>
    </row>
    <row r="36" spans="1:4" ht="45.6" customHeight="1" x14ac:dyDescent="0.35">
      <c r="A36" s="16">
        <v>3.3</v>
      </c>
      <c r="B36" s="16" t="s">
        <v>103</v>
      </c>
      <c r="C36" s="16" t="s">
        <v>144</v>
      </c>
      <c r="D36" s="14">
        <v>4000000</v>
      </c>
    </row>
    <row r="37" spans="1:4" ht="45.6" customHeight="1" x14ac:dyDescent="0.35">
      <c r="A37" s="12"/>
      <c r="B37" s="11" t="s">
        <v>145</v>
      </c>
      <c r="C37" s="12"/>
      <c r="D37" s="13">
        <v>377900000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WBS</vt:lpstr>
      <vt:lpstr>Man-month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tuan</dc:creator>
  <cp:lastModifiedBy>vu tuan</cp:lastModifiedBy>
  <dcterms:created xsi:type="dcterms:W3CDTF">2026-04-27T14:30:39Z</dcterms:created>
  <dcterms:modified xsi:type="dcterms:W3CDTF">2026-05-15T11:08:28Z</dcterms:modified>
</cp:coreProperties>
</file>